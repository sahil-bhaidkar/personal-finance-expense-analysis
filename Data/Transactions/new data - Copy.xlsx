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Expense-Data-Analysis\Expense-Data-Analysis 2\Data\Transactions\"/>
    </mc:Choice>
  </mc:AlternateContent>
  <xr:revisionPtr revIDLastSave="0" documentId="13_ncr:1_{1692F55B-4811-47E3-86FA-4E6C9C96133D}" xr6:coauthVersionLast="47" xr6:coauthVersionMax="47" xr10:uidLastSave="{00000000-0000-0000-0000-000000000000}"/>
  <bookViews>
    <workbookView xWindow="-120" yWindow="-120" windowWidth="20730" windowHeight="11040" xr2:uid="{6573B16E-3563-48B2-8616-FE39E4570408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<sst xmlns="http://schemas.openxmlformats.org/spreadsheetml/2006/main" count="65" uniqueCount="23">
  <si>
    <t>Bank Account</t>
  </si>
  <si>
    <t>Transaction Date</t>
  </si>
  <si>
    <t>Naration</t>
  </si>
  <si>
    <t>Chq/Ref No.</t>
  </si>
  <si>
    <t>Withdrawal</t>
  </si>
  <si>
    <t>Deposite</t>
  </si>
  <si>
    <t>Note</t>
  </si>
  <si>
    <t>Currency</t>
  </si>
  <si>
    <t>hdfc</t>
  </si>
  <si>
    <t>Category</t>
  </si>
  <si>
    <t>% Other expenses</t>
  </si>
  <si>
    <t>Gold Investment JAR</t>
  </si>
  <si>
    <t>Medical Expenses</t>
  </si>
  <si>
    <t>Other expenses</t>
  </si>
  <si>
    <t>Medical Expenses Apollo</t>
  </si>
  <si>
    <t>Other</t>
  </si>
  <si>
    <t>🪙 Gold investment</t>
  </si>
  <si>
    <t>💊 Medical Expenses</t>
  </si>
  <si>
    <t>INR</t>
  </si>
  <si>
    <t>💰 Salary</t>
  </si>
  <si>
    <t>Swiggy refund</t>
  </si>
  <si>
    <t>Recharge repayment from Satish Gawande</t>
  </si>
  <si>
    <t>Salary Jan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</si>
</sst>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github\Expense-Data-Analysis\Expense-Data-Analysis%202\Data\Transactions\Feb%202024.csv" TargetMode="External"/><Relationship Id="rId1" Type="http://schemas.openxmlformats.org/officeDocument/2006/relationships/externalLinkPath" Target="Feb%202024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 2024"/>
    </sheetNames>
    <sheetDataSet>
      <sheetData sheetId="0">
        <row r="2">
          <cell r="F2">
            <v>400</v>
          </cell>
          <cell r="G2" t="str">
            <v>Expense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251F5-74A8-436E-98FB-57F13EA6B13A}">
  <dimension ref="A1:I15"/>
  <sheetViews>
    <sheetView tabSelected="1" workbookViewId="0">
      <selection activeCell="H14" sqref="H14"/>
    </sheetView>
  </sheetViews>
  <sheetFormatPr defaultRowHeight="15" x14ac:dyDescent="0.25"/>
  <cols>
    <col min="1" max="1" width="13.140625" bestFit="1" customWidth="1"/>
    <col min="2" max="2" width="16.140625" bestFit="1" customWidth="1"/>
    <col min="3" max="3" width="8.85546875" bestFit="1" customWidth="1"/>
    <col min="4" max="4" width="11.42578125" bestFit="1" customWidth="1"/>
    <col min="5" max="5" width="11.140625" bestFit="1" customWidth="1"/>
    <col min="6" max="6" width="8.7109375" bestFit="1" customWidth="1"/>
    <col min="7" max="7" width="20.28515625" bestFit="1" customWidth="1"/>
    <col min="8" max="8" width="23.140625" bestFit="1" customWidth="1"/>
    <col min="9" max="9" width="8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6</v>
      </c>
      <c r="I1" t="s">
        <v>7</v>
      </c>
    </row>
    <row r="2" spans="1:9" x14ac:dyDescent="0.25">
      <c r="A2" t="s">
        <v>8</v>
      </c>
      <c r="B2" s="1">
        <v>45351.837500000001</v>
      </c>
      <c r="E2">
        <v>400</v>
      </c>
      <c r="F2" t="str">
        <f>IF('[1]Feb 2024'!$G$2="Income",'[1]Feb 2024'!$F$2,"")</f>
        <v/>
      </c>
      <c r="G2" t="s">
        <v>15</v>
      </c>
      <c r="H2" t="s">
        <v>10</v>
      </c>
      <c r="I2" t="s">
        <v>18</v>
      </c>
    </row>
    <row r="3" spans="1:9" x14ac:dyDescent="0.25">
      <c r="A3" t="s">
        <v>8</v>
      </c>
      <c r="B3" s="1">
        <v>45351.837500000001</v>
      </c>
      <c r="E3">
        <v>15</v>
      </c>
      <c r="F3" t="str">
        <f>IF('[1]Feb 2024'!$G$2="Income",'[1]Feb 2024'!$F$2,"")</f>
        <v/>
      </c>
      <c r="G3" t="s">
        <v>16</v>
      </c>
      <c r="H3" t="s">
        <v>11</v>
      </c>
      <c r="I3" t="s">
        <v>18</v>
      </c>
    </row>
    <row r="4" spans="1:9" x14ac:dyDescent="0.25">
      <c r="A4" t="s">
        <v>8</v>
      </c>
      <c r="B4" s="1">
        <v>45350.837500000001</v>
      </c>
      <c r="E4">
        <v>15</v>
      </c>
      <c r="F4" t="str">
        <f>IF('[1]Feb 2024'!$G$2="Income",'[1]Feb 2024'!$F$2,"")</f>
        <v/>
      </c>
      <c r="G4" t="s">
        <v>16</v>
      </c>
      <c r="H4" t="s">
        <v>11</v>
      </c>
      <c r="I4" t="s">
        <v>18</v>
      </c>
    </row>
    <row r="5" spans="1:9" x14ac:dyDescent="0.25">
      <c r="A5" t="s">
        <v>8</v>
      </c>
      <c r="B5" s="1">
        <v>45349.837500000001</v>
      </c>
      <c r="E5">
        <v>15</v>
      </c>
      <c r="F5" t="str">
        <f>IF('[1]Feb 2024'!$G$2="Income",'[1]Feb 2024'!$F$2,"")</f>
        <v/>
      </c>
      <c r="G5" t="s">
        <v>16</v>
      </c>
      <c r="H5" t="s">
        <v>11</v>
      </c>
      <c r="I5" t="s">
        <v>18</v>
      </c>
    </row>
    <row r="6" spans="1:9" x14ac:dyDescent="0.25">
      <c r="A6" t="s">
        <v>8</v>
      </c>
      <c r="B6" s="1">
        <v>45348.837500000001</v>
      </c>
      <c r="E6">
        <v>35</v>
      </c>
      <c r="F6" t="str">
        <f>IF('[1]Feb 2024'!$G$2="Income",'[1]Feb 2024'!$F$2,"")</f>
        <v/>
      </c>
      <c r="G6" t="s">
        <v>17</v>
      </c>
      <c r="H6" t="s">
        <v>12</v>
      </c>
      <c r="I6" t="s">
        <v>18</v>
      </c>
    </row>
    <row r="7" spans="1:9" x14ac:dyDescent="0.25">
      <c r="A7" t="s">
        <v>8</v>
      </c>
      <c r="B7" s="1">
        <v>45348.837500000001</v>
      </c>
      <c r="E7">
        <v>15</v>
      </c>
      <c r="F7" t="str">
        <f>IF('[1]Feb 2024'!$G$2="Income",'[1]Feb 2024'!$F$2,"")</f>
        <v/>
      </c>
      <c r="G7" t="s">
        <v>16</v>
      </c>
      <c r="H7" t="s">
        <v>11</v>
      </c>
      <c r="I7" t="s">
        <v>18</v>
      </c>
    </row>
    <row r="8" spans="1:9" x14ac:dyDescent="0.25">
      <c r="A8" t="s">
        <v>8</v>
      </c>
      <c r="B8" s="1">
        <v>45348.837500000001</v>
      </c>
      <c r="E8">
        <v>224</v>
      </c>
      <c r="F8" t="str">
        <f>IF('[1]Feb 2024'!$G$2="Income",'[1]Feb 2024'!$F$2,"")</f>
        <v/>
      </c>
      <c r="G8" t="s">
        <v>15</v>
      </c>
      <c r="H8" t="s">
        <v>13</v>
      </c>
      <c r="I8" t="s">
        <v>18</v>
      </c>
    </row>
    <row r="9" spans="1:9" x14ac:dyDescent="0.25">
      <c r="A9" t="s">
        <v>8</v>
      </c>
      <c r="B9" s="1">
        <v>45347.837500000001</v>
      </c>
      <c r="E9">
        <v>428.72</v>
      </c>
      <c r="F9" t="str">
        <f>IF('[1]Feb 2024'!$G$2="Income",'[1]Feb 2024'!$F$2,"")</f>
        <v/>
      </c>
      <c r="G9" t="s">
        <v>17</v>
      </c>
      <c r="H9" t="s">
        <v>14</v>
      </c>
      <c r="I9" t="s">
        <v>18</v>
      </c>
    </row>
    <row r="10" spans="1:9" x14ac:dyDescent="0.25">
      <c r="A10" t="s">
        <v>8</v>
      </c>
      <c r="B10" s="1">
        <v>45347.837500000001</v>
      </c>
      <c r="E10">
        <v>134</v>
      </c>
      <c r="F10" t="str">
        <f>IF('[1]Feb 2024'!$G$2="Income",'[1]Feb 2024'!$F$2,"")</f>
        <v/>
      </c>
      <c r="G10" t="s">
        <v>15</v>
      </c>
      <c r="H10" t="s">
        <v>13</v>
      </c>
      <c r="I10" t="s">
        <v>18</v>
      </c>
    </row>
    <row r="11" spans="1:9" x14ac:dyDescent="0.25">
      <c r="A11" t="s">
        <v>8</v>
      </c>
      <c r="B11" s="1">
        <v>45347.837500000001</v>
      </c>
      <c r="E11">
        <v>15</v>
      </c>
      <c r="F11" t="str">
        <f>IF('[1]Feb 2024'!$G$2="Income",'[1]Feb 2024'!$F$2,"")</f>
        <v/>
      </c>
      <c r="G11" t="s">
        <v>16</v>
      </c>
      <c r="H11" t="s">
        <v>11</v>
      </c>
      <c r="I11" t="s">
        <v>18</v>
      </c>
    </row>
    <row r="12" spans="1:9" x14ac:dyDescent="0.25">
      <c r="A12" t="s">
        <v>8</v>
      </c>
      <c r="B12" s="1">
        <v>45344.765972222223</v>
      </c>
      <c r="F12">
        <v>5000</v>
      </c>
      <c r="G12" t="s">
        <v>15</v>
      </c>
      <c r="H12" t="s">
        <v>13</v>
      </c>
      <c r="I12" t="s">
        <v>18</v>
      </c>
    </row>
    <row r="13" spans="1:9" x14ac:dyDescent="0.25">
      <c r="A13" t="s">
        <v>8</v>
      </c>
      <c r="B13" s="1">
        <v>45331.283333333333</v>
      </c>
      <c r="F13">
        <v>610</v>
      </c>
      <c r="G13" t="s">
        <v>15</v>
      </c>
      <c r="H13" t="s">
        <v>20</v>
      </c>
      <c r="I13" t="s">
        <v>18</v>
      </c>
    </row>
    <row r="14" spans="1:9" x14ac:dyDescent="0.25">
      <c r="A14" t="s">
        <v>8</v>
      </c>
      <c r="B14" s="1">
        <v>45330.281944444447</v>
      </c>
      <c r="F14">
        <v>720</v>
      </c>
      <c r="G14" t="s">
        <v>15</v>
      </c>
      <c r="H14" t="s">
        <v>21</v>
      </c>
      <c r="I14" t="s">
        <v>18</v>
      </c>
    </row>
    <row r="15" spans="1:9" x14ac:dyDescent="0.25">
      <c r="A15" t="s">
        <v>8</v>
      </c>
      <c r="B15" s="1">
        <v>45329.271527777775</v>
      </c>
      <c r="F15">
        <v>15822</v>
      </c>
      <c r="G15" t="s">
        <v>19</v>
      </c>
      <c r="H15" t="s">
        <v>22</v>
      </c>
      <c r="I1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Bhaidkar</dc:creator>
  <cp:lastModifiedBy>Sahil Bhaidkar</cp:lastModifiedBy>
  <dcterms:created xsi:type="dcterms:W3CDTF">2024-09-24T04:57:57Z</dcterms:created>
  <dcterms:modified xsi:type="dcterms:W3CDTF">2024-09-24T05:23:16Z</dcterms:modified>
</cp:coreProperties>
</file>